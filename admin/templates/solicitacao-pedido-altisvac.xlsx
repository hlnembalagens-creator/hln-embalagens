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c10ed5cb5535fe/Documents/HLN Embalagens/Pedido/Pedidos para Altisvac/"/>
    </mc:Choice>
  </mc:AlternateContent>
  <xr:revisionPtr revIDLastSave="17" documentId="8_{26CDD527-E1AB-4FAB-9E37-FA19417FF53C}" xr6:coauthVersionLast="47" xr6:coauthVersionMax="47" xr10:uidLastSave="{954EFE82-CA17-4F1F-9AAE-CAA75853DEA6}"/>
  <bookViews>
    <workbookView xWindow="-120" yWindow="-120" windowWidth="20730" windowHeight="11040" xr2:uid="{4E512D17-E1C3-4E4B-B41C-1803A08D11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G23" i="1"/>
  <c r="G24" i="1"/>
  <c r="G25" i="1"/>
  <c r="G26" i="1"/>
  <c r="G27" i="1"/>
  <c r="H29" i="1"/>
  <c r="G16" i="1"/>
  <c r="G15" i="1"/>
  <c r="G14" i="1"/>
  <c r="G13" i="1"/>
  <c r="G12" i="1"/>
  <c r="G11" i="1"/>
  <c r="G19" i="1"/>
  <c r="G18" i="1"/>
  <c r="G17" i="1"/>
  <c r="G21" i="1"/>
  <c r="G22" i="1"/>
  <c r="I1" i="1"/>
  <c r="G28" i="1"/>
  <c r="J27" i="1"/>
  <c r="G20" i="1"/>
  <c r="J25" i="1" l="1"/>
  <c r="J13" i="1"/>
  <c r="J12" i="1"/>
  <c r="J11" i="1"/>
  <c r="J17" i="1"/>
  <c r="J16" i="1"/>
  <c r="J15" i="1"/>
  <c r="J14" i="1"/>
  <c r="J19" i="1"/>
  <c r="J18" i="1"/>
  <c r="J23" i="1"/>
  <c r="J21" i="1"/>
  <c r="J22" i="1"/>
  <c r="J24" i="1"/>
  <c r="J26" i="1"/>
  <c r="J28" i="1"/>
  <c r="J20" i="1"/>
  <c r="J29" i="1" l="1"/>
  <c r="K30" i="1"/>
</calcChain>
</file>

<file path=xl/sharedStrings.xml><?xml version="1.0" encoding="utf-8"?>
<sst xmlns="http://schemas.openxmlformats.org/spreadsheetml/2006/main" count="94" uniqueCount="46">
  <si>
    <t xml:space="preserve">CLIENTE:   </t>
  </si>
  <si>
    <t xml:space="preserve">ENDEREÇO:          </t>
  </si>
  <si>
    <t xml:space="preserve">CNPJ/CPF                 </t>
  </si>
  <si>
    <t xml:space="preserve">CONTATO:          </t>
  </si>
  <si>
    <t xml:space="preserve">CÓDIGO:           </t>
  </si>
  <si>
    <t xml:space="preserve">TEL:          </t>
  </si>
  <si>
    <t xml:space="preserve">I.E:          </t>
  </si>
  <si>
    <t>EMAIL:</t>
  </si>
  <si>
    <t>PRODUTOS</t>
  </si>
  <si>
    <t>ITEM</t>
  </si>
  <si>
    <t>MATERIAL</t>
  </si>
  <si>
    <t>LARG.</t>
  </si>
  <si>
    <t>COMP.</t>
  </si>
  <si>
    <t>ESP.</t>
  </si>
  <si>
    <t>TIPO</t>
  </si>
  <si>
    <t>PESO</t>
  </si>
  <si>
    <t>QUANTIDADE</t>
  </si>
  <si>
    <t>VOL. TOTAL</t>
  </si>
  <si>
    <t>PESO TOTAL</t>
  </si>
  <si>
    <t>VL. UNITÁRIO</t>
  </si>
  <si>
    <t>VL. TOTAL</t>
  </si>
  <si>
    <t>NATURAL</t>
  </si>
  <si>
    <r>
      <rPr>
        <b/>
        <sz val="12"/>
        <color theme="1"/>
        <rFont val="Arial"/>
        <family val="2"/>
      </rPr>
      <t>CONDIÇÕES:</t>
    </r>
    <r>
      <rPr>
        <b/>
        <sz val="10"/>
        <color theme="1"/>
        <rFont val="Arial"/>
        <family val="2"/>
      </rPr>
      <t xml:space="preserve"> </t>
    </r>
  </si>
  <si>
    <t>PRAZO DE ENTREGA:</t>
  </si>
  <si>
    <t>PRAZO DE PAGAMENTO:</t>
  </si>
  <si>
    <t>CHAVE PIX: 29523086000119</t>
  </si>
  <si>
    <t>ICMS:</t>
  </si>
  <si>
    <t>IPI:</t>
  </si>
  <si>
    <t>REGIME DE TRIBUTAÇÃO:</t>
  </si>
  <si>
    <t>TRANSPORTADORA</t>
  </si>
  <si>
    <t>Empresa:</t>
  </si>
  <si>
    <t>CNPJ:</t>
  </si>
  <si>
    <t>Endereço:</t>
  </si>
  <si>
    <t>TEL:</t>
  </si>
  <si>
    <t xml:space="preserve">OBSERVAÇÃO: </t>
  </si>
  <si>
    <t xml:space="preserve">saco a vácuo </t>
  </si>
  <si>
    <t xml:space="preserve"> NYLON POLI</t>
  </si>
  <si>
    <t xml:space="preserve">48H </t>
  </si>
  <si>
    <t xml:space="preserve">SACO A VÁCUO </t>
  </si>
  <si>
    <t>NYLON POLI</t>
  </si>
  <si>
    <t xml:space="preserve">      Pedido ( Altisvac)</t>
  </si>
  <si>
    <t>HLN EMBALAGENS</t>
  </si>
  <si>
    <t>NELSON</t>
  </si>
  <si>
    <t>HLNEMBALAGENS@GMAIL.COM</t>
  </si>
  <si>
    <t>66.878.650/0001-42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</si>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</sst>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0.000"/>
  </numFmts>
  <fonts count="12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22"/>
      <color theme="3" tint="0.249977111117893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6"/>
      <name val="Arial"/>
      <family val="2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8">
    <xf numFmtId="0" fontId="0" fillId="0" borderId="0" xfId="0"/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2" fontId="4" fillId="0" borderId="30" xfId="0" applyNumberFormat="1" applyFont="1" applyBorder="1" applyAlignment="1">
      <alignment horizontal="center" vertical="center"/>
    </xf>
    <xf numFmtId="1" fontId="4" fillId="0" borderId="30" xfId="0" applyNumberFormat="1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2" fontId="7" fillId="0" borderId="34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65" fontId="7" fillId="0" borderId="35" xfId="0" applyNumberFormat="1" applyFont="1" applyBorder="1" applyAlignment="1">
      <alignment horizontal="center" vertical="center"/>
    </xf>
    <xf numFmtId="165" fontId="7" fillId="0" borderId="36" xfId="0" applyNumberFormat="1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164" fontId="7" fillId="0" borderId="38" xfId="0" applyNumberFormat="1" applyFont="1" applyBorder="1" applyAlignment="1">
      <alignment horizontal="center" vertical="center"/>
    </xf>
    <xf numFmtId="164" fontId="7" fillId="0" borderId="39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164" fontId="7" fillId="0" borderId="32" xfId="0" applyNumberFormat="1" applyFont="1" applyBorder="1" applyAlignment="1">
      <alignment horizontal="center" vertical="center"/>
    </xf>
    <xf numFmtId="164" fontId="7" fillId="0" borderId="4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2" fontId="4" fillId="0" borderId="20" xfId="0" applyNumberFormat="1" applyFont="1" applyBorder="1" applyAlignment="1">
      <alignment horizontal="center" vertical="center"/>
    </xf>
    <xf numFmtId="2" fontId="4" fillId="0" borderId="16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4" fillId="0" borderId="23" xfId="0" applyNumberFormat="1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3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65" fontId="10" fillId="0" borderId="27" xfId="1" applyNumberFormat="1" applyBorder="1" applyAlignment="1">
      <alignment horizontal="center" vertical="center"/>
    </xf>
    <xf numFmtId="165" fontId="4" fillId="0" borderId="28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2" fontId="3" fillId="0" borderId="2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LNEMBALAGE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9F5A-843A-43B5-887D-0E6615BD3EA4}">
  <sheetPr>
    <pageSetUpPr fitToPage="1"/>
  </sheetPr>
  <dimension ref="A1:L41"/>
  <sheetViews>
    <sheetView tabSelected="1" zoomScale="85" zoomScaleNormal="85" workbookViewId="0">
      <selection activeCell="H12" sqref="H12"/>
    </sheetView>
  </sheetViews>
  <sheetFormatPr defaultColWidth="8.85546875" defaultRowHeight="15" x14ac:dyDescent="0.25"/>
  <cols>
    <col min="1" max="1" width="24.7109375" style="24" bestFit="1" customWidth="1"/>
    <col min="2" max="2" width="17.5703125" style="24" bestFit="1" customWidth="1"/>
    <col min="3" max="3" width="6.7109375" style="24" bestFit="1" customWidth="1"/>
    <col min="4" max="4" width="7" style="24" bestFit="1" customWidth="1"/>
    <col min="5" max="5" width="5.28515625" style="24" bestFit="1" customWidth="1"/>
    <col min="6" max="6" width="9.140625" style="24" bestFit="1" customWidth="1"/>
    <col min="7" max="7" width="6.140625" style="24" bestFit="1" customWidth="1"/>
    <col min="8" max="8" width="13.140625" style="24" bestFit="1" customWidth="1"/>
    <col min="9" max="9" width="11.85546875" style="24" bestFit="1" customWidth="1"/>
    <col min="10" max="10" width="16.28515625" style="24" bestFit="1" customWidth="1"/>
    <col min="11" max="11" width="13.28515625" style="24" bestFit="1" customWidth="1"/>
    <col min="12" max="12" width="20.140625" style="24" customWidth="1"/>
    <col min="13" max="16384" width="8.85546875" style="24"/>
  </cols>
  <sheetData>
    <row r="1" spans="1:12" x14ac:dyDescent="0.25">
      <c r="A1" s="87"/>
      <c r="B1" s="90" t="s">
        <v>40</v>
      </c>
      <c r="C1" s="91"/>
      <c r="D1" s="91"/>
      <c r="E1" s="91"/>
      <c r="F1" s="91"/>
      <c r="G1" s="91"/>
      <c r="H1" s="91"/>
      <c r="I1" s="96">
        <f ca="1">NOW()</f>
        <v>46297.340202083331</v>
      </c>
      <c r="J1" s="97"/>
      <c r="K1" s="102"/>
      <c r="L1" s="103"/>
    </row>
    <row r="2" spans="1:12" x14ac:dyDescent="0.25">
      <c r="A2" s="88"/>
      <c r="B2" s="92"/>
      <c r="C2" s="93"/>
      <c r="D2" s="93"/>
      <c r="E2" s="93"/>
      <c r="F2" s="93"/>
      <c r="G2" s="93"/>
      <c r="H2" s="93"/>
      <c r="I2" s="98"/>
      <c r="J2" s="99"/>
      <c r="K2" s="104"/>
      <c r="L2" s="105"/>
    </row>
    <row r="3" spans="1:12" ht="71.45" customHeight="1" thickBot="1" x14ac:dyDescent="0.3">
      <c r="A3" s="89"/>
      <c r="B3" s="94"/>
      <c r="C3" s="95"/>
      <c r="D3" s="95"/>
      <c r="E3" s="95"/>
      <c r="F3" s="95"/>
      <c r="G3" s="95"/>
      <c r="H3" s="95"/>
      <c r="I3" s="100"/>
      <c r="J3" s="101"/>
      <c r="K3" s="106"/>
      <c r="L3" s="107"/>
    </row>
    <row r="4" spans="1:12" ht="16.5" thickBot="1" x14ac:dyDescent="0.3">
      <c r="A4" s="25" t="s">
        <v>0</v>
      </c>
      <c r="B4" s="40" t="s">
        <v>41</v>
      </c>
      <c r="C4" s="45"/>
      <c r="D4" s="45"/>
      <c r="E4" s="45"/>
      <c r="F4" s="45"/>
      <c r="G4" s="45"/>
      <c r="H4" s="45"/>
      <c r="I4" s="45"/>
      <c r="J4" s="45"/>
      <c r="K4" s="45"/>
      <c r="L4" s="41"/>
    </row>
    <row r="5" spans="1:12" ht="15.75" thickBot="1" x14ac:dyDescent="0.3">
      <c r="A5" s="26" t="s">
        <v>1</v>
      </c>
      <c r="B5" s="84"/>
      <c r="C5" s="85"/>
      <c r="D5" s="85"/>
      <c r="E5" s="85"/>
      <c r="F5" s="85"/>
      <c r="G5" s="85"/>
      <c r="H5" s="85"/>
      <c r="I5" s="85"/>
      <c r="J5" s="85"/>
      <c r="K5" s="85"/>
      <c r="L5" s="86"/>
    </row>
    <row r="6" spans="1:12" x14ac:dyDescent="0.25">
      <c r="A6" s="27" t="s">
        <v>2</v>
      </c>
      <c r="B6" s="72" t="s">
        <v>44</v>
      </c>
      <c r="C6" s="73"/>
      <c r="D6" s="73"/>
      <c r="E6" s="73"/>
      <c r="F6" s="73"/>
      <c r="G6" s="73"/>
      <c r="H6" s="73"/>
      <c r="I6" s="74"/>
      <c r="J6" s="28" t="s">
        <v>3</v>
      </c>
      <c r="K6" s="75" t="s">
        <v>42</v>
      </c>
      <c r="L6" s="76"/>
    </row>
    <row r="7" spans="1:12" x14ac:dyDescent="0.25">
      <c r="A7" s="27" t="s">
        <v>4</v>
      </c>
      <c r="B7" s="72"/>
      <c r="C7" s="73"/>
      <c r="D7" s="73"/>
      <c r="E7" s="73"/>
      <c r="F7" s="73"/>
      <c r="G7" s="73"/>
      <c r="H7" s="73"/>
      <c r="I7" s="74"/>
      <c r="J7" s="29" t="s">
        <v>5</v>
      </c>
      <c r="K7" s="77"/>
      <c r="L7" s="78"/>
    </row>
    <row r="8" spans="1:12" ht="15.75" thickBot="1" x14ac:dyDescent="0.3">
      <c r="A8" s="30" t="s">
        <v>6</v>
      </c>
      <c r="B8" s="79">
        <v>165808021113</v>
      </c>
      <c r="C8" s="80"/>
      <c r="D8" s="80"/>
      <c r="E8" s="80"/>
      <c r="F8" s="80"/>
      <c r="G8" s="80"/>
      <c r="H8" s="80"/>
      <c r="I8" s="81"/>
      <c r="J8" s="31" t="s">
        <v>7</v>
      </c>
      <c r="K8" s="82" t="s">
        <v>43</v>
      </c>
      <c r="L8" s="83"/>
    </row>
    <row r="9" spans="1:12" ht="16.5" thickBot="1" x14ac:dyDescent="0.3">
      <c r="A9" s="40" t="s">
        <v>8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1"/>
    </row>
    <row r="10" spans="1:12" ht="15.75" thickBot="1" x14ac:dyDescent="0.3">
      <c r="A10" s="1" t="s">
        <v>9</v>
      </c>
      <c r="B10" s="2" t="s">
        <v>10</v>
      </c>
      <c r="C10" s="3" t="s">
        <v>11</v>
      </c>
      <c r="D10" s="3" t="s">
        <v>12</v>
      </c>
      <c r="E10" s="4" t="s">
        <v>13</v>
      </c>
      <c r="F10" s="2" t="s">
        <v>14</v>
      </c>
      <c r="G10" s="2" t="s">
        <v>15</v>
      </c>
      <c r="H10" s="5" t="s">
        <v>16</v>
      </c>
      <c r="I10" s="6" t="s">
        <v>17</v>
      </c>
      <c r="J10" s="7" t="s">
        <v>18</v>
      </c>
      <c r="K10" s="8" t="s">
        <v>19</v>
      </c>
      <c r="L10" s="9" t="s">
        <v>20</v>
      </c>
    </row>
    <row r="11" spans="1:12" x14ac:dyDescent="0.25">
      <c r="A11" s="10" t="s">
        <v>38</v>
      </c>
      <c r="B11" s="11" t="s">
        <v>45</v>
      </c>
      <c r="C11" s="12">
        <v>0</v>
      </c>
      <c r="D11" s="12">
        <v>0</v>
      </c>
      <c r="E11" s="11">
        <v>0</v>
      </c>
      <c r="F11" s="13" t="s">
        <v>21</v>
      </c>
      <c r="G11" s="11">
        <f t="shared" ref="G11:G16" si="0">C11*D11*E11</f>
        <v>0</v>
      </c>
      <c r="H11" s="14">
        <v>0</v>
      </c>
      <c r="I11" s="15">
        <v>0</v>
      </c>
      <c r="J11" s="16">
        <f t="shared" ref="J11:J16" si="1">G11*H11</f>
        <v>0</v>
      </c>
      <c r="K11" s="17"/>
      <c r="L11" s="18"/>
    </row>
    <row r="12" spans="1:12" x14ac:dyDescent="0.25">
      <c r="A12" s="10" t="s">
        <v>38</v>
      </c>
      <c r="B12" s="11" t="s">
        <v>39</v>
      </c>
      <c r="C12" s="12">
        <v>0</v>
      </c>
      <c r="D12" s="12">
        <v>0</v>
      </c>
      <c r="E12" s="11">
        <v>0</v>
      </c>
      <c r="F12" s="13" t="s">
        <v>21</v>
      </c>
      <c r="G12" s="11">
        <f t="shared" si="0"/>
        <v>0</v>
      </c>
      <c r="H12" s="14">
        <v>0</v>
      </c>
      <c r="I12" s="15">
        <v>0</v>
      </c>
      <c r="J12" s="16">
        <f t="shared" si="1"/>
        <v>0</v>
      </c>
      <c r="K12" s="17"/>
      <c r="L12" s="18"/>
    </row>
    <row r="13" spans="1:12" x14ac:dyDescent="0.25">
      <c r="A13" s="10" t="s">
        <v>38</v>
      </c>
      <c r="B13" s="11" t="s">
        <v>39</v>
      </c>
      <c r="C13" s="12">
        <v>0</v>
      </c>
      <c r="D13" s="12">
        <v>0.3</v>
      </c>
      <c r="E13" s="11">
        <v>0</v>
      </c>
      <c r="F13" s="13" t="s">
        <v>21</v>
      </c>
      <c r="G13" s="11">
        <f t="shared" si="0"/>
        <v>0</v>
      </c>
      <c r="H13" s="14">
        <v>0</v>
      </c>
      <c r="I13" s="15">
        <v>0</v>
      </c>
      <c r="J13" s="16">
        <f t="shared" si="1"/>
        <v>0</v>
      </c>
      <c r="K13" s="17"/>
      <c r="L13" s="18"/>
    </row>
    <row r="14" spans="1:12" x14ac:dyDescent="0.25">
      <c r="A14" s="10" t="s">
        <v>38</v>
      </c>
      <c r="B14" s="11" t="s">
        <v>39</v>
      </c>
      <c r="C14" s="12">
        <v>0</v>
      </c>
      <c r="D14" s="12">
        <v>0.3</v>
      </c>
      <c r="E14" s="11">
        <v>0</v>
      </c>
      <c r="F14" s="13" t="s">
        <v>21</v>
      </c>
      <c r="G14" s="11">
        <f t="shared" si="0"/>
        <v>0</v>
      </c>
      <c r="H14" s="14">
        <v>0</v>
      </c>
      <c r="I14" s="15">
        <v>0</v>
      </c>
      <c r="J14" s="16">
        <f t="shared" si="1"/>
        <v>0</v>
      </c>
      <c r="K14" s="17"/>
      <c r="L14" s="18"/>
    </row>
    <row r="15" spans="1:12" x14ac:dyDescent="0.25">
      <c r="A15" s="10" t="s">
        <v>38</v>
      </c>
      <c r="B15" s="11" t="s">
        <v>39</v>
      </c>
      <c r="C15" s="12">
        <v>0</v>
      </c>
      <c r="D15" s="12">
        <v>0</v>
      </c>
      <c r="E15" s="11">
        <v>0</v>
      </c>
      <c r="F15" s="13" t="s">
        <v>21</v>
      </c>
      <c r="G15" s="11">
        <f t="shared" si="0"/>
        <v>0</v>
      </c>
      <c r="H15" s="14">
        <v>0</v>
      </c>
      <c r="I15" s="15">
        <v>0</v>
      </c>
      <c r="J15" s="16">
        <f t="shared" si="1"/>
        <v>0</v>
      </c>
      <c r="K15" s="17"/>
      <c r="L15" s="18"/>
    </row>
    <row r="16" spans="1:12" x14ac:dyDescent="0.25">
      <c r="A16" s="10" t="s">
        <v>38</v>
      </c>
      <c r="B16" s="11" t="s">
        <v>39</v>
      </c>
      <c r="C16" s="12">
        <v>0</v>
      </c>
      <c r="D16" s="12">
        <v>0</v>
      </c>
      <c r="E16" s="11">
        <v>0</v>
      </c>
      <c r="F16" s="13" t="s">
        <v>21</v>
      </c>
      <c r="G16" s="11">
        <f t="shared" si="0"/>
        <v>0</v>
      </c>
      <c r="H16" s="14">
        <v>0</v>
      </c>
      <c r="I16" s="15">
        <v>0</v>
      </c>
      <c r="J16" s="16">
        <f t="shared" si="1"/>
        <v>0</v>
      </c>
      <c r="K16" s="17"/>
      <c r="L16" s="18"/>
    </row>
    <row r="17" spans="1:12" x14ac:dyDescent="0.25">
      <c r="A17" s="10" t="s">
        <v>38</v>
      </c>
      <c r="B17" s="11" t="s">
        <v>39</v>
      </c>
      <c r="C17" s="12">
        <v>0</v>
      </c>
      <c r="D17" s="12">
        <v>0</v>
      </c>
      <c r="E17" s="11">
        <v>0</v>
      </c>
      <c r="F17" s="13" t="s">
        <v>21</v>
      </c>
      <c r="G17" s="11">
        <f t="shared" ref="G17:G19" si="2">C17*D17*E17</f>
        <v>0</v>
      </c>
      <c r="H17" s="14">
        <v>0</v>
      </c>
      <c r="I17" s="15">
        <v>0</v>
      </c>
      <c r="J17" s="16">
        <f t="shared" ref="J17:J19" si="3">G17*H17</f>
        <v>0</v>
      </c>
      <c r="K17" s="17"/>
      <c r="L17" s="18"/>
    </row>
    <row r="18" spans="1:12" x14ac:dyDescent="0.25">
      <c r="A18" s="10" t="s">
        <v>38</v>
      </c>
      <c r="B18" s="11" t="s">
        <v>39</v>
      </c>
      <c r="C18" s="12">
        <v>0</v>
      </c>
      <c r="D18" s="12">
        <v>0</v>
      </c>
      <c r="E18" s="11">
        <v>0</v>
      </c>
      <c r="F18" s="13" t="s">
        <v>21</v>
      </c>
      <c r="G18" s="11">
        <f t="shared" si="2"/>
        <v>0</v>
      </c>
      <c r="H18" s="14">
        <v>0</v>
      </c>
      <c r="I18" s="15">
        <v>0</v>
      </c>
      <c r="J18" s="16">
        <f t="shared" si="3"/>
        <v>0</v>
      </c>
      <c r="K18" s="17"/>
      <c r="L18" s="18"/>
    </row>
    <row r="19" spans="1:12" x14ac:dyDescent="0.25">
      <c r="A19" s="10" t="s">
        <v>38</v>
      </c>
      <c r="B19" s="11" t="s">
        <v>39</v>
      </c>
      <c r="C19" s="12">
        <v>0</v>
      </c>
      <c r="D19" s="12">
        <v>0</v>
      </c>
      <c r="E19" s="11">
        <v>0</v>
      </c>
      <c r="F19" s="13" t="s">
        <v>21</v>
      </c>
      <c r="G19" s="11">
        <f t="shared" si="2"/>
        <v>0</v>
      </c>
      <c r="H19" s="14">
        <v>0</v>
      </c>
      <c r="I19" s="15">
        <v>0</v>
      </c>
      <c r="J19" s="16">
        <f t="shared" si="3"/>
        <v>0</v>
      </c>
      <c r="K19" s="17"/>
      <c r="L19" s="18"/>
    </row>
    <row r="20" spans="1:12" x14ac:dyDescent="0.25">
      <c r="A20" s="10" t="s">
        <v>38</v>
      </c>
      <c r="B20" s="11" t="s">
        <v>39</v>
      </c>
      <c r="C20" s="12">
        <v>0</v>
      </c>
      <c r="D20" s="12">
        <v>0</v>
      </c>
      <c r="E20" s="11">
        <v>0</v>
      </c>
      <c r="F20" s="13" t="s">
        <v>21</v>
      </c>
      <c r="G20" s="11">
        <f t="shared" ref="G20" si="4">C20*D20*E20</f>
        <v>0</v>
      </c>
      <c r="H20" s="14">
        <v>0</v>
      </c>
      <c r="I20" s="15">
        <v>0</v>
      </c>
      <c r="J20" s="16">
        <f t="shared" ref="J20" si="5">G20*H20</f>
        <v>0</v>
      </c>
      <c r="K20" s="17"/>
      <c r="L20" s="18"/>
    </row>
    <row r="21" spans="1:12" x14ac:dyDescent="0.25">
      <c r="A21" s="10" t="s">
        <v>38</v>
      </c>
      <c r="B21" s="11" t="s">
        <v>39</v>
      </c>
      <c r="C21" s="12">
        <v>0</v>
      </c>
      <c r="D21" s="12">
        <v>0</v>
      </c>
      <c r="E21" s="11">
        <v>0</v>
      </c>
      <c r="F21" s="13" t="s">
        <v>21</v>
      </c>
      <c r="G21" s="11">
        <f t="shared" ref="G21:G22" si="6">C21*D21*E21</f>
        <v>0</v>
      </c>
      <c r="H21" s="14">
        <v>0</v>
      </c>
      <c r="I21" s="15">
        <v>0</v>
      </c>
      <c r="J21" s="16">
        <f t="shared" ref="J21:J28" si="7">G21*H21</f>
        <v>0</v>
      </c>
      <c r="K21" s="17"/>
      <c r="L21" s="18"/>
    </row>
    <row r="22" spans="1:12" x14ac:dyDescent="0.25">
      <c r="A22" s="10" t="s">
        <v>38</v>
      </c>
      <c r="B22" s="11" t="s">
        <v>39</v>
      </c>
      <c r="C22" s="12">
        <v>0</v>
      </c>
      <c r="D22" s="12">
        <v>0</v>
      </c>
      <c r="E22" s="11">
        <v>0</v>
      </c>
      <c r="F22" s="13" t="s">
        <v>21</v>
      </c>
      <c r="G22" s="11">
        <f t="shared" si="6"/>
        <v>0</v>
      </c>
      <c r="H22" s="14">
        <v>0</v>
      </c>
      <c r="I22" s="15">
        <v>0</v>
      </c>
      <c r="J22" s="16">
        <f t="shared" si="7"/>
        <v>0</v>
      </c>
      <c r="K22" s="17"/>
      <c r="L22" s="18"/>
    </row>
    <row r="23" spans="1:12" x14ac:dyDescent="0.25">
      <c r="A23" s="10" t="s">
        <v>38</v>
      </c>
      <c r="B23" s="11" t="s">
        <v>39</v>
      </c>
      <c r="C23" s="12">
        <v>0</v>
      </c>
      <c r="D23" s="12">
        <v>0</v>
      </c>
      <c r="E23" s="11">
        <v>0</v>
      </c>
      <c r="F23" s="13" t="s">
        <v>21</v>
      </c>
      <c r="G23" s="11">
        <f t="shared" ref="G23:G27" si="8">C23*D23*E23</f>
        <v>0</v>
      </c>
      <c r="H23" s="14">
        <v>0</v>
      </c>
      <c r="I23" s="15">
        <v>0</v>
      </c>
      <c r="J23" s="16">
        <f t="shared" si="7"/>
        <v>0</v>
      </c>
      <c r="K23" s="17"/>
      <c r="L23" s="18"/>
    </row>
    <row r="24" spans="1:12" ht="15" customHeight="1" x14ac:dyDescent="0.25">
      <c r="A24" s="10" t="s">
        <v>38</v>
      </c>
      <c r="B24" s="11" t="s">
        <v>39</v>
      </c>
      <c r="C24" s="12">
        <v>0</v>
      </c>
      <c r="D24" s="12">
        <v>0</v>
      </c>
      <c r="E24" s="11">
        <v>0</v>
      </c>
      <c r="F24" s="13" t="s">
        <v>21</v>
      </c>
      <c r="G24" s="11">
        <f t="shared" si="8"/>
        <v>0</v>
      </c>
      <c r="H24" s="14">
        <v>0</v>
      </c>
      <c r="I24" s="15">
        <v>0</v>
      </c>
      <c r="J24" s="16">
        <f t="shared" si="7"/>
        <v>0</v>
      </c>
      <c r="K24" s="17"/>
      <c r="L24" s="18"/>
    </row>
    <row r="25" spans="1:12" x14ac:dyDescent="0.25">
      <c r="A25" s="10" t="s">
        <v>38</v>
      </c>
      <c r="B25" s="11" t="s">
        <v>39</v>
      </c>
      <c r="C25" s="12">
        <v>0</v>
      </c>
      <c r="D25" s="12">
        <v>0</v>
      </c>
      <c r="E25" s="11">
        <v>0</v>
      </c>
      <c r="F25" s="13" t="s">
        <v>21</v>
      </c>
      <c r="G25" s="11">
        <f t="shared" si="8"/>
        <v>0</v>
      </c>
      <c r="H25" s="14">
        <v>0</v>
      </c>
      <c r="I25" s="15">
        <v>0</v>
      </c>
      <c r="J25" s="16">
        <f t="shared" si="7"/>
        <v>0</v>
      </c>
      <c r="K25" s="17"/>
      <c r="L25" s="18"/>
    </row>
    <row r="26" spans="1:12" x14ac:dyDescent="0.25">
      <c r="A26" s="10" t="s">
        <v>38</v>
      </c>
      <c r="B26" s="11" t="s">
        <v>39</v>
      </c>
      <c r="C26" s="12">
        <v>0</v>
      </c>
      <c r="D26" s="12">
        <v>0</v>
      </c>
      <c r="E26" s="11">
        <v>0</v>
      </c>
      <c r="F26" s="13" t="s">
        <v>21</v>
      </c>
      <c r="G26" s="11">
        <f t="shared" si="8"/>
        <v>0</v>
      </c>
      <c r="H26" s="14">
        <v>0</v>
      </c>
      <c r="I26" s="15">
        <v>0</v>
      </c>
      <c r="J26" s="16">
        <f t="shared" si="7"/>
        <v>0</v>
      </c>
      <c r="K26" s="17"/>
      <c r="L26" s="18"/>
    </row>
    <row r="27" spans="1:12" x14ac:dyDescent="0.25">
      <c r="A27" s="10" t="s">
        <v>38</v>
      </c>
      <c r="B27" s="11" t="s">
        <v>39</v>
      </c>
      <c r="C27" s="12">
        <v>0</v>
      </c>
      <c r="D27" s="12">
        <v>0</v>
      </c>
      <c r="E27" s="11">
        <v>0</v>
      </c>
      <c r="F27" s="13" t="s">
        <v>21</v>
      </c>
      <c r="G27" s="11">
        <f t="shared" si="8"/>
        <v>0</v>
      </c>
      <c r="H27" s="14">
        <v>0</v>
      </c>
      <c r="I27" s="15">
        <v>0</v>
      </c>
      <c r="J27" s="16">
        <f t="shared" si="7"/>
        <v>0</v>
      </c>
      <c r="K27" s="17"/>
      <c r="L27" s="18"/>
    </row>
    <row r="28" spans="1:12" ht="15.75" thickBot="1" x14ac:dyDescent="0.3">
      <c r="A28" s="10" t="s">
        <v>35</v>
      </c>
      <c r="B28" s="11" t="s">
        <v>36</v>
      </c>
      <c r="C28" s="12">
        <v>0</v>
      </c>
      <c r="D28" s="12">
        <v>0</v>
      </c>
      <c r="E28" s="11">
        <v>0</v>
      </c>
      <c r="F28" s="13" t="s">
        <v>21</v>
      </c>
      <c r="G28" s="11">
        <f t="shared" ref="G28" si="9">C28*D28*E28</f>
        <v>0</v>
      </c>
      <c r="H28" s="14">
        <v>0</v>
      </c>
      <c r="I28" s="15">
        <v>0</v>
      </c>
      <c r="J28" s="16">
        <f t="shared" si="7"/>
        <v>0</v>
      </c>
      <c r="K28" s="17"/>
      <c r="L28" s="18"/>
    </row>
    <row r="29" spans="1:12" ht="15.75" thickBot="1" x14ac:dyDescent="0.3">
      <c r="A29" s="51"/>
      <c r="B29" s="52"/>
      <c r="C29" s="52"/>
      <c r="D29" s="52"/>
      <c r="E29" s="52"/>
      <c r="F29" s="52"/>
      <c r="G29" s="53"/>
      <c r="H29" s="20">
        <f>SUM(H11:H28)</f>
        <v>0</v>
      </c>
      <c r="I29" s="21">
        <f>SUM(I11:I28)</f>
        <v>0</v>
      </c>
      <c r="J29" s="19">
        <f>SUM(J11:J28)</f>
        <v>0</v>
      </c>
      <c r="K29" s="22"/>
      <c r="L29" s="23"/>
    </row>
    <row r="30" spans="1:12" ht="16.5" thickBot="1" x14ac:dyDescent="0.3">
      <c r="A30" s="54" t="s">
        <v>22</v>
      </c>
      <c r="B30" s="55"/>
      <c r="C30" s="55"/>
      <c r="D30" s="55"/>
      <c r="E30" s="55"/>
      <c r="F30" s="55"/>
      <c r="G30" s="55"/>
      <c r="H30" s="55"/>
      <c r="I30" s="55"/>
      <c r="J30" s="56"/>
      <c r="K30" s="57">
        <f>SUM(L11:L28)</f>
        <v>0</v>
      </c>
      <c r="L30" s="58"/>
    </row>
    <row r="31" spans="1:12" x14ac:dyDescent="0.25">
      <c r="A31" s="32" t="s">
        <v>23</v>
      </c>
      <c r="B31" s="33"/>
      <c r="C31" s="63" t="s">
        <v>37</v>
      </c>
      <c r="D31" s="64"/>
      <c r="E31" s="64"/>
      <c r="F31" s="64"/>
      <c r="G31" s="64"/>
      <c r="H31" s="64"/>
      <c r="I31" s="64"/>
      <c r="J31" s="65"/>
      <c r="K31" s="59"/>
      <c r="L31" s="60"/>
    </row>
    <row r="32" spans="1:12" x14ac:dyDescent="0.25">
      <c r="A32" s="34" t="s">
        <v>24</v>
      </c>
      <c r="B32" s="35"/>
      <c r="C32" s="66"/>
      <c r="D32" s="67"/>
      <c r="E32" s="67"/>
      <c r="F32" s="67"/>
      <c r="G32" s="67"/>
      <c r="H32" s="67"/>
      <c r="I32" s="67"/>
      <c r="J32" s="68"/>
      <c r="K32" s="59"/>
      <c r="L32" s="60"/>
    </row>
    <row r="33" spans="1:12" x14ac:dyDescent="0.25">
      <c r="A33" s="66" t="s">
        <v>26</v>
      </c>
      <c r="B33" s="68"/>
      <c r="C33" s="66"/>
      <c r="D33" s="67"/>
      <c r="E33" s="67"/>
      <c r="F33" s="67"/>
      <c r="G33" s="67"/>
      <c r="H33" s="67"/>
      <c r="I33" s="67"/>
      <c r="J33" s="68"/>
      <c r="K33" s="59"/>
      <c r="L33" s="60"/>
    </row>
    <row r="34" spans="1:12" x14ac:dyDescent="0.25">
      <c r="A34" s="66" t="s">
        <v>27</v>
      </c>
      <c r="B34" s="68"/>
      <c r="C34" s="66"/>
      <c r="D34" s="67"/>
      <c r="E34" s="67"/>
      <c r="F34" s="67"/>
      <c r="G34" s="67"/>
      <c r="H34" s="67"/>
      <c r="I34" s="67"/>
      <c r="J34" s="68"/>
      <c r="K34" s="59"/>
      <c r="L34" s="60"/>
    </row>
    <row r="35" spans="1:12" ht="15.75" thickBot="1" x14ac:dyDescent="0.3">
      <c r="A35" s="36" t="s">
        <v>28</v>
      </c>
      <c r="B35" s="37"/>
      <c r="C35" s="69"/>
      <c r="D35" s="70"/>
      <c r="E35" s="70"/>
      <c r="F35" s="70"/>
      <c r="G35" s="70"/>
      <c r="H35" s="70"/>
      <c r="I35" s="70"/>
      <c r="J35" s="71"/>
      <c r="K35" s="59"/>
      <c r="L35" s="60"/>
    </row>
    <row r="36" spans="1:12" ht="16.5" thickBot="1" x14ac:dyDescent="0.3">
      <c r="A36" s="40" t="s">
        <v>29</v>
      </c>
      <c r="B36" s="45"/>
      <c r="C36" s="45"/>
      <c r="D36" s="45"/>
      <c r="E36" s="45"/>
      <c r="F36" s="45"/>
      <c r="G36" s="45"/>
      <c r="H36" s="45"/>
      <c r="I36" s="45"/>
      <c r="J36" s="41"/>
      <c r="K36" s="59"/>
      <c r="L36" s="60"/>
    </row>
    <row r="37" spans="1:12" x14ac:dyDescent="0.25">
      <c r="A37" s="38" t="s">
        <v>30</v>
      </c>
      <c r="B37" s="63"/>
      <c r="C37" s="64"/>
      <c r="D37" s="64"/>
      <c r="E37" s="64"/>
      <c r="F37" s="64"/>
      <c r="G37" s="65"/>
      <c r="H37" s="38" t="s">
        <v>31</v>
      </c>
      <c r="I37" s="63"/>
      <c r="J37" s="65"/>
      <c r="K37" s="59"/>
      <c r="L37" s="60"/>
    </row>
    <row r="38" spans="1:12" ht="15.75" thickBot="1" x14ac:dyDescent="0.3">
      <c r="A38" s="30" t="s">
        <v>32</v>
      </c>
      <c r="B38" s="69"/>
      <c r="C38" s="70"/>
      <c r="D38" s="70"/>
      <c r="E38" s="70"/>
      <c r="F38" s="70"/>
      <c r="G38" s="71"/>
      <c r="H38" s="39" t="s">
        <v>33</v>
      </c>
      <c r="I38" s="69"/>
      <c r="J38" s="71"/>
      <c r="K38" s="59"/>
      <c r="L38" s="60"/>
    </row>
    <row r="39" spans="1:12" ht="16.5" thickBot="1" x14ac:dyDescent="0.3">
      <c r="A39" s="40" t="s">
        <v>34</v>
      </c>
      <c r="B39" s="41"/>
      <c r="C39" s="42"/>
      <c r="D39" s="43"/>
      <c r="E39" s="43"/>
      <c r="F39" s="43"/>
      <c r="G39" s="43"/>
      <c r="H39" s="43"/>
      <c r="I39" s="43"/>
      <c r="J39" s="44"/>
      <c r="K39" s="59"/>
      <c r="L39" s="60"/>
    </row>
    <row r="40" spans="1:12" ht="16.5" thickBot="1" x14ac:dyDescent="0.3">
      <c r="A40" s="40" t="s">
        <v>25</v>
      </c>
      <c r="B40" s="45"/>
      <c r="C40" s="45"/>
      <c r="D40" s="45"/>
      <c r="E40" s="45"/>
      <c r="F40" s="45"/>
      <c r="G40" s="45"/>
      <c r="H40" s="45"/>
      <c r="I40" s="45"/>
      <c r="J40" s="41"/>
      <c r="K40" s="61"/>
      <c r="L40" s="62"/>
    </row>
    <row r="41" spans="1:12" ht="15.75" thickBot="1" x14ac:dyDescent="0.3">
      <c r="A41" s="46"/>
      <c r="B41" s="47"/>
      <c r="C41" s="47"/>
      <c r="D41" s="47"/>
      <c r="E41" s="47"/>
      <c r="F41" s="47"/>
      <c r="G41" s="47"/>
      <c r="H41" s="47"/>
      <c r="I41" s="47"/>
      <c r="J41" s="48"/>
      <c r="K41" s="49"/>
      <c r="L41" s="50"/>
    </row>
  </sheetData>
  <mergeCells count="33">
    <mergeCell ref="B5:L5"/>
    <mergeCell ref="A1:A3"/>
    <mergeCell ref="B1:H3"/>
    <mergeCell ref="I1:J3"/>
    <mergeCell ref="K1:L3"/>
    <mergeCell ref="B4:L4"/>
    <mergeCell ref="B6:I6"/>
    <mergeCell ref="K6:L6"/>
    <mergeCell ref="B7:I7"/>
    <mergeCell ref="K7:L7"/>
    <mergeCell ref="B8:I8"/>
    <mergeCell ref="K8:L8"/>
    <mergeCell ref="A9:L9"/>
    <mergeCell ref="A29:G29"/>
    <mergeCell ref="A30:J30"/>
    <mergeCell ref="K30:L40"/>
    <mergeCell ref="C31:J31"/>
    <mergeCell ref="C32:J32"/>
    <mergeCell ref="A33:B33"/>
    <mergeCell ref="C33:J33"/>
    <mergeCell ref="A34:B34"/>
    <mergeCell ref="C34:J34"/>
    <mergeCell ref="C35:J35"/>
    <mergeCell ref="A36:J36"/>
    <mergeCell ref="B37:G37"/>
    <mergeCell ref="I37:J37"/>
    <mergeCell ref="B38:G38"/>
    <mergeCell ref="I38:J38"/>
    <mergeCell ref="A39:B39"/>
    <mergeCell ref="C39:J39"/>
    <mergeCell ref="A40:J40"/>
    <mergeCell ref="A41:J41"/>
    <mergeCell ref="K41:L41"/>
  </mergeCells>
  <hyperlinks>
    <hyperlink ref="K8" r:id="rId1" xr:uid="{978E209D-4CF7-4DC4-A4EE-B4AFB9FC3D76}"/>
  </hyperlinks>
  <pageMargins left="0.511811024" right="0.511811024" top="0.78740157499999996" bottom="0.78740157499999996" header="0.31496062000000002" footer="0.31496062000000002"/>
  <pageSetup paperSize="9" scale="93" fitToHeight="0" orientation="landscape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Izis Linard</dc:creator>
  <cp:lastModifiedBy>Luiz Gustavo Bezerra Zanardo</cp:lastModifiedBy>
  <cp:lastPrinted>2025-02-12T17:19:38Z</cp:lastPrinted>
  <dcterms:created xsi:type="dcterms:W3CDTF">2024-10-29T20:00:12Z</dcterms:created>
  <dcterms:modified xsi:type="dcterms:W3CDTF">2026-10-02T11:09:55Z</dcterms:modified>
</cp:coreProperties>
</file>